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National" sheetId="2" state="visible" r:id="rId4"/>
    <sheet name="Senate polls" sheetId="3" state="visible" r:id="rId5"/>
    <sheet name="Ratings changes" sheetId="4" state="visible" r:id="rId6"/>
    <sheet name="Redistricting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Mean absolute error of Senate general-election polls, FiveThirtyEight raw_polls.csv (1998-2022), as computed on the DV3 elections dashboard.</t>
        </r>
      </text>
    </comment>
    <comment ref="G3" authorId="0">
      <text>
        <r>
          <rPr>
            <sz val="10"/>
            <rFont val="Arial"/>
            <family val="2"/>
          </rPr>
          <t xml:space="preserve">90th percentile of the same distribution: one poll in ten missed by more than this.</t>
        </r>
      </text>
    </comment>
  </commentList>
</comments>
</file>

<file path=xl/sharedStrings.xml><?xml version="1.0" encoding="utf-8"?>
<sst xmlns="http://schemas.openxmlformats.org/spreadsheetml/2006/main" count="305" uniqueCount="228">
  <si>
    <t xml:space="preserve">2026 US midterm elections: key facts (compiled 15 Oct 2026)</t>
  </si>
  <si>
    <t xml:space="preserve">Blue = figure taken from a cited source; black = formula. Sources tab lists every link.</t>
  </si>
  <si>
    <t xml:space="preserve">Item</t>
  </si>
  <si>
    <t xml:space="preserve">Value</t>
  </si>
  <si>
    <t xml:space="preserve">Notes / source</t>
  </si>
  <si>
    <t xml:space="preserve">Election day</t>
  </si>
  <si>
    <t xml:space="preserve">2026-11-03</t>
  </si>
  <si>
    <t xml:space="preserve">Tuesday 3 November 2026</t>
  </si>
  <si>
    <t xml:space="preserve">House seats on the ballot</t>
  </si>
  <si>
    <t xml:space="preserve">All seats</t>
  </si>
  <si>
    <t xml:space="preserve">Senate seats on the ballot</t>
  </si>
  <si>
    <t xml:space="preserve">33 regular Class II seats plus special elections in Ohio and Florida</t>
  </si>
  <si>
    <t xml:space="preserve">Senate: Republican seats now</t>
  </si>
  <si>
    <t xml:space="preserve">Forbes, 13 Oct 2026</t>
  </si>
  <si>
    <t xml:space="preserve">Senate: Democratic seats now (incl. independents caucusing)</t>
  </si>
  <si>
    <t xml:space="preserve">Senate seats needed for a majority if the VP breaks ties for Republicans</t>
  </si>
  <si>
    <t xml:space="preserve">50-50 ties are broken by the Republican vice-president</t>
  </si>
  <si>
    <t xml:space="preserve">Net Senate gain Democrats need</t>
  </si>
  <si>
    <t xml:space="preserve">Formula: majority needed minus current Democratic seats</t>
  </si>
  <si>
    <t xml:space="preserve">House: Republicans</t>
  </si>
  <si>
    <t xml:space="preserve">House Press Gallery, page updated 2 Sep 2026</t>
  </si>
  <si>
    <t xml:space="preserve">House: Democrats</t>
  </si>
  <si>
    <t xml:space="preserve">House: Independents</t>
  </si>
  <si>
    <t xml:space="preserve">House: Vacancies</t>
  </si>
  <si>
    <t xml:space="preserve">House: total seats (check)</t>
  </si>
  <si>
    <t xml:space="preserve">Should equal 435</t>
  </si>
  <si>
    <t xml:space="preserve">House majority threshold</t>
  </si>
  <si>
    <t xml:space="preserve">Majority of 435</t>
  </si>
  <si>
    <t xml:space="preserve">National environment</t>
  </si>
  <si>
    <t xml:space="preserve">Measure</t>
  </si>
  <si>
    <t xml:space="preserve">Date</t>
  </si>
  <si>
    <t xml:space="preserve">Democrats (%)</t>
  </si>
  <si>
    <t xml:space="preserve">Republicans (%)</t>
  </si>
  <si>
    <t xml:space="preserve">Democratic lead (pts)</t>
  </si>
  <si>
    <t xml:space="preserve">Source</t>
  </si>
  <si>
    <t xml:space="preserve">Source URL</t>
  </si>
  <si>
    <t xml:space="preserve">Generic ballot, Silver Bulletin average</t>
  </si>
  <si>
    <t xml:space="preserve">2026-10-13</t>
  </si>
  <si>
    <t xml:space="preserve">Forbes citing Silver Bulletin ('as of Tuesday', 13 Oct 2026)</t>
  </si>
  <si>
    <t xml:space="preserve">https://www.forbes.com/sites/saradorn/2026/10/13/hottest-2026-midterm-races-democrat-roy-cooper-has-double-digit-lead-over-former-rnc-chair-michael-whatley-updated-daily/</t>
  </si>
  <si>
    <t xml:space="preserve">2026-09-01</t>
  </si>
  <si>
    <t xml:space="preserve">Forbes citing Silver Bulletin</t>
  </si>
  <si>
    <t xml:space="preserve">Generic ballot, NYT/Siena</t>
  </si>
  <si>
    <t xml:space="preserve">2026-09-15</t>
  </si>
  <si>
    <t xml:space="preserve">Forbes citing New York Times/Siena (released 15 Sep 2026)</t>
  </si>
  <si>
    <t xml:space="preserve">Change in Silver Bulletin lead since 1 Sep (pts)</t>
  </si>
  <si>
    <t xml:space="preserve">Kalshi price: Democrats win the House</t>
  </si>
  <si>
    <t xml:space="preserve">Forbes, 13 Oct 2026. A market price, not a calibrated probability.</t>
  </si>
  <si>
    <t xml:space="preserve">Presidential approval (Gallup)</t>
  </si>
  <si>
    <t xml:space="preserve">Reported below 40%; Gallup reported to be ending its presidential approval series (AOL; Report.az). Exact figure not confirmed.</t>
  </si>
  <si>
    <t xml:space="preserve">Key 2026 Senate races: latest single poll in each (not averages)</t>
  </si>
  <si>
    <t xml:space="preserve">Historical Senate poll error (FiveThirtyEight archive, 4,850 polls, 1998-2022, computed on the DV3 elections dashboard):</t>
  </si>
  <si>
    <t xml:space="preserve">Average absolute error (pts)</t>
  </si>
  <si>
    <t xml:space="preserve">90th-percentile absolute error (pts)</t>
  </si>
  <si>
    <t xml:space="preserve">State</t>
  </si>
  <si>
    <t xml:space="preserve">State code</t>
  </si>
  <si>
    <t xml:space="preserve">Seat</t>
  </si>
  <si>
    <t xml:space="preserve">Candidate 1</t>
  </si>
  <si>
    <t xml:space="preserve">Party 1</t>
  </si>
  <si>
    <t xml:space="preserve">Candidate 1 (%)</t>
  </si>
  <si>
    <t xml:space="preserve">Candidate 2</t>
  </si>
  <si>
    <t xml:space="preserve">Party 2</t>
  </si>
  <si>
    <t xml:space="preserve">Candidate 2 (%)</t>
  </si>
  <si>
    <t xml:space="preserve">Pollster</t>
  </si>
  <si>
    <t xml:space="preserve">Poll date</t>
  </si>
  <si>
    <t xml:space="preserve">Sample note</t>
  </si>
  <si>
    <t xml:space="preserve">Lead (pts, cand. 1 minus cand. 2)</t>
  </si>
  <si>
    <t xml:space="preserve">Leader</t>
  </si>
  <si>
    <t xml:space="preserve">Against historical poll error</t>
  </si>
  <si>
    <t xml:space="preserve">North Carolina</t>
  </si>
  <si>
    <t xml:space="preserve">NC</t>
  </si>
  <si>
    <t xml:space="preserve">Open</t>
  </si>
  <si>
    <t xml:space="preserve">Roy Cooper</t>
  </si>
  <si>
    <t xml:space="preserve">D</t>
  </si>
  <si>
    <t xml:space="preserve">Michael Whatley</t>
  </si>
  <si>
    <t xml:space="preserve">R</t>
  </si>
  <si>
    <t xml:space="preserve">WRAL/WSOC</t>
  </si>
  <si>
    <t xml:space="preserve">Texas</t>
  </si>
  <si>
    <t xml:space="preserve">TX</t>
  </si>
  <si>
    <t xml:space="preserve">Incumbent R</t>
  </si>
  <si>
    <t xml:space="preserve">James Talarico</t>
  </si>
  <si>
    <t xml:space="preserve">Ken Paxton</t>
  </si>
  <si>
    <t xml:space="preserve">New York Times/Siena</t>
  </si>
  <si>
    <t xml:space="preserve">2026-10-03</t>
  </si>
  <si>
    <t xml:space="preserve">Ohio (special)</t>
  </si>
  <si>
    <t xml:space="preserve">OH</t>
  </si>
  <si>
    <t xml:space="preserve">Sherrod Brown</t>
  </si>
  <si>
    <t xml:space="preserve">Jon Husted</t>
  </si>
  <si>
    <t xml:space="preserve">CNN (SSRS)</t>
  </si>
  <si>
    <t xml:space="preserve">2026-10-08</t>
  </si>
  <si>
    <t xml:space="preserve">New Hampshire</t>
  </si>
  <si>
    <t xml:space="preserve">NH</t>
  </si>
  <si>
    <t xml:space="preserve">Chris Pappas</t>
  </si>
  <si>
    <t xml:space="preserve">John Sununu</t>
  </si>
  <si>
    <t xml:space="preserve">St. Anselm College</t>
  </si>
  <si>
    <t xml:space="preserve">2026-10-07</t>
  </si>
  <si>
    <t xml:space="preserve">4% unsure or third candidate</t>
  </si>
  <si>
    <t xml:space="preserve">Alaska</t>
  </si>
  <si>
    <t xml:space="preserve">AK</t>
  </si>
  <si>
    <t xml:space="preserve">Mary Peltola</t>
  </si>
  <si>
    <t xml:space="preserve">Dan Sullivan</t>
  </si>
  <si>
    <t xml:space="preserve">Voters aged 50 and older only</t>
  </si>
  <si>
    <t xml:space="preserve">Maine</t>
  </si>
  <si>
    <t xml:space="preserve">ME</t>
  </si>
  <si>
    <t xml:space="preserve">Troy Jackson</t>
  </si>
  <si>
    <t xml:space="preserve">Susan Collins</t>
  </si>
  <si>
    <t xml:space="preserve">Washington Post-Schar School</t>
  </si>
  <si>
    <t xml:space="preserve">2026-10-09</t>
  </si>
  <si>
    <t xml:space="preserve">Minnesota</t>
  </si>
  <si>
    <t xml:space="preserve">MN</t>
  </si>
  <si>
    <t xml:space="preserve">Flanagan</t>
  </si>
  <si>
    <t xml:space="preserve">Tafoya</t>
  </si>
  <si>
    <t xml:space="preserve">Star Tribune/KARE 11</t>
  </si>
  <si>
    <t xml:space="preserve">2026-10-12</t>
  </si>
  <si>
    <t xml:space="preserve">Parties not stated in source; 9% undecided</t>
  </si>
  <si>
    <t xml:space="preserve">Iowa</t>
  </si>
  <si>
    <t xml:space="preserve">IA</t>
  </si>
  <si>
    <t xml:space="preserve">Ashley Hinson</t>
  </si>
  <si>
    <t xml:space="preserve">Josh Turek</t>
  </si>
  <si>
    <t xml:space="preserve">Emerson College</t>
  </si>
  <si>
    <t xml:space="preserve">Kansas</t>
  </si>
  <si>
    <t xml:space="preserve">KS</t>
  </si>
  <si>
    <t xml:space="preserve">Roger Marshall</t>
  </si>
  <si>
    <t xml:space="preserve">Adam Hamilton</t>
  </si>
  <si>
    <t xml:space="preserve">Michigan</t>
  </si>
  <si>
    <t xml:space="preserve">MI</t>
  </si>
  <si>
    <t xml:space="preserve">Abdul El-Sayed</t>
  </si>
  <si>
    <t xml:space="preserve">Mike Rogers</t>
  </si>
  <si>
    <t xml:space="preserve">Fox News</t>
  </si>
  <si>
    <t xml:space="preserve">2026-10-02</t>
  </si>
  <si>
    <t xml:space="preserve">Florida (special)</t>
  </si>
  <si>
    <t xml:space="preserve">FL</t>
  </si>
  <si>
    <t xml:space="preserve">Angie Nixon</t>
  </si>
  <si>
    <t xml:space="preserve">Ashley Moody</t>
  </si>
  <si>
    <t xml:space="preserve">St. Pete Polls/FloridaPolitics.com</t>
  </si>
  <si>
    <t xml:space="preserve">2026-09-18</t>
  </si>
  <si>
    <t xml:space="preserve">7% undecided</t>
  </si>
  <si>
    <t xml:space="preserve">Races inside an average miss</t>
  </si>
  <si>
    <t xml:space="preserve">Races inside the 1-in-10 miss (but not an average miss)</t>
  </si>
  <si>
    <t xml:space="preserve">Races outside the 1-in-10 miss</t>
  </si>
  <si>
    <t xml:space="preserve">All poll figures: Forbes daily tracker, updated 13 Oct 2026. A single poll per race; polls can share a common error across races in the same cycle.</t>
  </si>
  <si>
    <t xml:space="preserve">HOW TO ADD A POLL: insert a row directly below the last poll (keep the summary rows below a blank line). Fill columns A-M; State code is the two-letter postal code; Party is D, R or blank if the source does not say; percentages as whole numbers (51 = 51%); Poll date as YYYY-MM-DD; Source URL is required. Columns N-P are formulas and can be copied down; the website recomputes them itself.</t>
  </si>
  <si>
    <t xml:space="preserve">Cook Political Report Senate rating changes (article dated 13 Apr 2026)</t>
  </si>
  <si>
    <t xml:space="preserve">From</t>
  </si>
  <si>
    <t xml:space="preserve">To</t>
  </si>
  <si>
    <t xml:space="preserve">Open seat</t>
  </si>
  <si>
    <t xml:space="preserve">Toss-up</t>
  </si>
  <si>
    <t xml:space="preserve">Lean Democratic</t>
  </si>
  <si>
    <t xml:space="preserve">Georgia</t>
  </si>
  <si>
    <t xml:space="preserve">Sen. Jon Ossoff's seat</t>
  </si>
  <si>
    <t xml:space="preserve">Ohio</t>
  </si>
  <si>
    <t xml:space="preserve">Lean Republican</t>
  </si>
  <si>
    <t xml:space="preserve">Nebraska</t>
  </si>
  <si>
    <t xml:space="preserve">Sen. Pete Ricketts's seat</t>
  </si>
  <si>
    <t xml:space="preserve">Solid Republican</t>
  </si>
  <si>
    <t xml:space="preserve">Likely Republican</t>
  </si>
  <si>
    <t xml:space="preserve">Toss-ups named at the time: Maine, Michigan, Ohio. Ratings have probably moved since April; check cookpolitical.com.</t>
  </si>
  <si>
    <t xml:space="preserve">Mid-decade House redistricting for 2026 (status as reported in April 2026)</t>
  </si>
  <si>
    <t xml:space="preserve">Change</t>
  </si>
  <si>
    <t xml:space="preserve">Party favoured</t>
  </si>
  <si>
    <t xml:space="preserve">Potential seats</t>
  </si>
  <si>
    <t xml:space="preserve">Certainty</t>
  </si>
  <si>
    <t xml:space="preserve">Status</t>
  </si>
  <si>
    <t xml:space="preserve">Five new districts favouring Republicans</t>
  </si>
  <si>
    <t xml:space="preserve">Republican</t>
  </si>
  <si>
    <t xml:space="preserve">Stated</t>
  </si>
  <si>
    <t xml:space="preserve">US Supreme Court upheld the map</t>
  </si>
  <si>
    <t xml:space="preserve">California</t>
  </si>
  <si>
    <t xml:space="preserve">Voter-approved referendum: five districts favouring Democrats</t>
  </si>
  <si>
    <t xml:space="preserve">Democratic</t>
  </si>
  <si>
    <t xml:space="preserve">US Supreme Court denied Republican appeal; map usable in 2026</t>
  </si>
  <si>
    <t xml:space="preserve">Revised map from a largely Republican panel</t>
  </si>
  <si>
    <t xml:space="preserve">Possible</t>
  </si>
  <si>
    <t xml:space="preserve">Approved</t>
  </si>
  <si>
    <t xml:space="preserve">Missouri</t>
  </si>
  <si>
    <t xml:space="preserve">Revised map signed by Gov. Mike Kehoe</t>
  </si>
  <si>
    <t xml:space="preserve">In effect while a referendum petition is reviewed; compactness case pending</t>
  </si>
  <si>
    <t xml:space="preserve">Revised lines from the General Assembly</t>
  </si>
  <si>
    <t xml:space="preserve">Federal panel declined to block (November)</t>
  </si>
  <si>
    <t xml:space="preserve">Utah</t>
  </si>
  <si>
    <t xml:space="preserve">Court-ordered new boundaries</t>
  </si>
  <si>
    <t xml:space="preserve">Challenges rejected in February</t>
  </si>
  <si>
    <t xml:space="preserve">Virginia</t>
  </si>
  <si>
    <t xml:space="preserve">New map tied to a constitutional amendment</t>
  </si>
  <si>
    <t xml:space="preserve">Unresolved</t>
  </si>
  <si>
    <t xml:space="preserve">Needs voter approval; county judge ruled amendment illegal, on appeal</t>
  </si>
  <si>
    <t xml:space="preserve">Florida</t>
  </si>
  <si>
    <t xml:space="preserve">Special session called to redraw</t>
  </si>
  <si>
    <t xml:space="preserve">No proposed lines released at the time</t>
  </si>
  <si>
    <t xml:space="preserve">Indiana</t>
  </si>
  <si>
    <t xml:space="preserve">Redraw failed 31-19 in the state Senate</t>
  </si>
  <si>
    <t xml:space="preserve">No change</t>
  </si>
  <si>
    <t xml:space="preserve">Previous maps remain</t>
  </si>
  <si>
    <t xml:space="preserve">Maryland</t>
  </si>
  <si>
    <t xml:space="preserve">Bill stalled in the Senate</t>
  </si>
  <si>
    <t xml:space="preserve">Session ended 13 Apr</t>
  </si>
  <si>
    <t xml:space="preserve">Potential Republican-leaning seats</t>
  </si>
  <si>
    <t xml:space="preserve">Potential Democratic-leaning seats</t>
  </si>
  <si>
    <t xml:space="preserve">Net potential shift toward Republicans</t>
  </si>
  <si>
    <t xml:space="preserve">Source: Signal SCV / AP, April 2026. 'Possible' gains are not certain; some cases may have been resolved since.</t>
  </si>
  <si>
    <t xml:space="preserve">Sources</t>
  </si>
  <si>
    <t xml:space="preserve">Used for</t>
  </si>
  <si>
    <t xml:space="preserve">URL</t>
  </si>
  <si>
    <t xml:space="preserve">Forbes: Hottest 2026 midterm races (updated 13 Oct 2026)</t>
  </si>
  <si>
    <t xml:space="preserve">Senate polls; Senate 53-47; generic ballot; Kalshi</t>
  </si>
  <si>
    <t xml:space="preserve">Silver Bulletin: generic ballot average</t>
  </si>
  <si>
    <t xml:space="preserve">Generic ballot</t>
  </si>
  <si>
    <t xml:space="preserve">https://www.natesilver.net/p/generic-ballot-average-2026-nate-silver-bulletin-congress-polls</t>
  </si>
  <si>
    <t xml:space="preserve">RealClearPolitics: what the generic ballot polls tell us (1 Oct 2026)</t>
  </si>
  <si>
    <t xml:space="preserve">Context</t>
  </si>
  <si>
    <t xml:space="preserve">https://www.realclearpolitics.com/2026/10/01/2026_midterms_what_the_generic_ballot_polls_tell_us_712674.html</t>
  </si>
  <si>
    <t xml:space="preserve">House Press Gallery: party breakdown</t>
  </si>
  <si>
    <t xml:space="preserve">House composition</t>
  </si>
  <si>
    <t xml:space="preserve">https://pressgallery.house.gov/member-data/party-breakdown</t>
  </si>
  <si>
    <t xml:space="preserve">Mediaite: Cook shifts four Senate races (13 Apr 2026)</t>
  </si>
  <si>
    <t xml:space="preserve">Ratings changes</t>
  </si>
  <si>
    <t xml:space="preserve">https://mediaite.com/politics/cook-political-shifts-four-senate-races-toward-democrats-key-race-now-a-toss-up</t>
  </si>
  <si>
    <t xml:space="preserve">Signal SCV: latest on the redistricting battles (Apr 2026)</t>
  </si>
  <si>
    <t xml:space="preserve">Redistricting</t>
  </si>
  <si>
    <t xml:space="preserve">https://signalscv.com/2026/04/2026-midterms-the-latest-on-the-redistricting-battles/</t>
  </si>
  <si>
    <t xml:space="preserve">AOL: Gallup ending presidential approval ratings</t>
  </si>
  <si>
    <t xml:space="preserve">Approval (headline only)</t>
  </si>
  <si>
    <t xml:space="preserve">https://www.aol.com/articles/gallup-ending-presidential-approval-ratings-025800595.html</t>
  </si>
  <si>
    <t xml:space="preserve">Report.az: Gallup, Trump's rating falls to 40%</t>
  </si>
  <si>
    <t xml:space="preserve">https://report.az/en/amp/other-countries/gallup-trump-s-rating-falls-to-40</t>
  </si>
  <si>
    <t xml:space="preserve">FiveThirtyEight raw_polls.csv via DV3 Dashboards</t>
  </si>
  <si>
    <t xml:space="preserve">Historical poll error thresholds</t>
  </si>
  <si>
    <t xml:space="preserve">https://github.com/fivethirtyeight/data/tree/master/pollster-ratings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</si>
</sst>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+0.0;\-0.0;0.0"/>
    <numFmt numFmtId="166" formatCode="0.0%"/>
    <numFmt numFmtId="167" formatCode="\+0;\-0;0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D5BB8"/>
      <name val="Arial"/>
      <family val="0"/>
      <charset val="1"/>
    </font>
    <font>
      <sz val="10"/>
      <name val="Arial"/>
      <family val="2"/>
    </font>
    <font>
      <u val="single"/>
      <sz val="10"/>
      <color rgb="FF1D5BB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212D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DC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5BB8"/>
      <rgbColor rgb="FFD7DC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1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forbes.com/sites/saradorn/2026/10/13/hottest-2026-midterm-races-democrat-roy-cooper-has-double-digit-lead-over-former-rnc-chair-michael-whatley-updated-daily/" TargetMode="External"/><Relationship Id="rId2" Type="http://schemas.openxmlformats.org/officeDocument/2006/relationships/hyperlink" Target="https://www.natesilver.net/p/generic-ballot-average-2026-nate-silver-bulletin-congress-polls" TargetMode="External"/><Relationship Id="rId3" Type="http://schemas.openxmlformats.org/officeDocument/2006/relationships/hyperlink" Target="https://www.realclearpolitics.com/2026/10/01/2026_midterms_what_the_generic_ballot_polls_tell_us_712674.html" TargetMode="External"/><Relationship Id="rId4" Type="http://schemas.openxmlformats.org/officeDocument/2006/relationships/hyperlink" Target="https://pressgallery.house.gov/member-data/party-breakdown" TargetMode="External"/><Relationship Id="rId5" Type="http://schemas.openxmlformats.org/officeDocument/2006/relationships/hyperlink" Target="https://mediaite.com/politics/cook-political-shifts-four-senate-races-toward-democrats-key-race-now-a-toss-up" TargetMode="External"/><Relationship Id="rId6" Type="http://schemas.openxmlformats.org/officeDocument/2006/relationships/hyperlink" Target="https://signalscv.com/2026/04/2026-midterms-the-latest-on-the-redistricting-battles/" TargetMode="External"/><Relationship Id="rId7" Type="http://schemas.openxmlformats.org/officeDocument/2006/relationships/hyperlink" Target="https://www.aol.com/articles/gallup-ending-presidential-approval-ratings-025800595.html" TargetMode="External"/><Relationship Id="rId8" Type="http://schemas.openxmlformats.org/officeDocument/2006/relationships/hyperlink" Target="https://report.az/en/amp/other-countries/gallup-trump-s-rating-falls-to-40" TargetMode="External"/><Relationship Id="rId9" Type="http://schemas.openxmlformats.org/officeDocument/2006/relationships/hyperlink" Target="https://github.com/fivethirtyeight/data/tree/master/pollster-rating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5" t="n">
        <v>435</v>
      </c>
      <c r="C6" s="4" t="s">
        <v>9</v>
      </c>
    </row>
    <row r="7" customFormat="false" ht="15" hidden="false" customHeight="false" outlineLevel="0" collapsed="false">
      <c r="A7" s="4" t="s">
        <v>10</v>
      </c>
      <c r="B7" s="5" t="n">
        <v>35</v>
      </c>
      <c r="C7" s="4" t="s">
        <v>11</v>
      </c>
    </row>
    <row r="8" customFormat="false" ht="15" hidden="false" customHeight="false" outlineLevel="0" collapsed="false">
      <c r="A8" s="4" t="s">
        <v>12</v>
      </c>
      <c r="B8" s="5" t="n">
        <v>53</v>
      </c>
      <c r="C8" s="4" t="s">
        <v>13</v>
      </c>
    </row>
    <row r="9" customFormat="false" ht="23.85" hidden="false" customHeight="false" outlineLevel="0" collapsed="false">
      <c r="A9" s="4" t="s">
        <v>14</v>
      </c>
      <c r="B9" s="5" t="n">
        <v>47</v>
      </c>
      <c r="C9" s="4" t="s">
        <v>13</v>
      </c>
    </row>
    <row r="10" customFormat="false" ht="23.85" hidden="false" customHeight="false" outlineLevel="0" collapsed="false">
      <c r="A10" s="4" t="s">
        <v>15</v>
      </c>
      <c r="B10" s="5" t="n">
        <v>51</v>
      </c>
      <c r="C10" s="4" t="s">
        <v>16</v>
      </c>
    </row>
    <row r="11" customFormat="false" ht="15" hidden="false" customHeight="false" outlineLevel="0" collapsed="false">
      <c r="A11" s="4" t="s">
        <v>17</v>
      </c>
      <c r="B11" s="4" t="n">
        <f aca="false">B10-B9</f>
        <v>4</v>
      </c>
      <c r="C11" s="4" t="s">
        <v>18</v>
      </c>
    </row>
    <row r="12" customFormat="false" ht="15" hidden="false" customHeight="false" outlineLevel="0" collapsed="false">
      <c r="A12" s="4" t="s">
        <v>19</v>
      </c>
      <c r="B12" s="5" t="n">
        <v>218</v>
      </c>
      <c r="C12" s="4" t="s">
        <v>20</v>
      </c>
    </row>
    <row r="13" customFormat="false" ht="15" hidden="false" customHeight="false" outlineLevel="0" collapsed="false">
      <c r="A13" s="4" t="s">
        <v>21</v>
      </c>
      <c r="B13" s="5" t="n">
        <v>214</v>
      </c>
      <c r="C13" s="4" t="s">
        <v>20</v>
      </c>
    </row>
    <row r="14" customFormat="false" ht="15" hidden="false" customHeight="false" outlineLevel="0" collapsed="false">
      <c r="A14" s="4" t="s">
        <v>22</v>
      </c>
      <c r="B14" s="5" t="n">
        <v>1</v>
      </c>
      <c r="C14" s="4" t="s">
        <v>20</v>
      </c>
    </row>
    <row r="15" customFormat="false" ht="15" hidden="false" customHeight="false" outlineLevel="0" collapsed="false">
      <c r="A15" s="4" t="s">
        <v>23</v>
      </c>
      <c r="B15" s="5" t="n">
        <v>2</v>
      </c>
      <c r="C15" s="4" t="s">
        <v>20</v>
      </c>
    </row>
    <row r="16" customFormat="false" ht="15" hidden="false" customHeight="false" outlineLevel="0" collapsed="false">
      <c r="A16" s="4" t="s">
        <v>24</v>
      </c>
      <c r="B16" s="4" t="n">
        <f aca="false">SUM(B12:B15)</f>
        <v>435</v>
      </c>
      <c r="C16" s="4" t="s">
        <v>25</v>
      </c>
    </row>
    <row r="17" customFormat="false" ht="15" hidden="false" customHeight="false" outlineLevel="0" collapsed="false">
      <c r="A17" s="4" t="s">
        <v>26</v>
      </c>
      <c r="B17" s="5" t="n">
        <v>218</v>
      </c>
      <c r="C17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28</v>
      </c>
    </row>
    <row r="3" customFormat="false" ht="30" hidden="false" customHeight="true" outlineLevel="0" collapsed="false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</row>
    <row r="4" customFormat="false" ht="35.05" hidden="false" customHeight="false" outlineLevel="0" collapsed="false">
      <c r="A4" s="4" t="s">
        <v>36</v>
      </c>
      <c r="B4" s="4" t="s">
        <v>37</v>
      </c>
      <c r="C4" s="5" t="n">
        <v>49.7</v>
      </c>
      <c r="D4" s="5" t="n">
        <v>41.1</v>
      </c>
      <c r="E4" s="6" t="n">
        <f aca="false">C4-D4</f>
        <v>8.6</v>
      </c>
      <c r="F4" s="4" t="s">
        <v>38</v>
      </c>
      <c r="G4" s="4" t="s">
        <v>39</v>
      </c>
    </row>
    <row r="5" customFormat="false" ht="35.05" hidden="false" customHeight="false" outlineLevel="0" collapsed="false">
      <c r="A5" s="4" t="s">
        <v>36</v>
      </c>
      <c r="B5" s="4" t="s">
        <v>40</v>
      </c>
      <c r="C5" s="5" t="n">
        <v>48.3</v>
      </c>
      <c r="D5" s="5" t="n">
        <v>41.6</v>
      </c>
      <c r="E5" s="6" t="n">
        <f aca="false">C5-D5</f>
        <v>6.7</v>
      </c>
      <c r="F5" s="4" t="s">
        <v>41</v>
      </c>
      <c r="G5" s="4" t="s">
        <v>39</v>
      </c>
    </row>
    <row r="6" customFormat="false" ht="35.05" hidden="false" customHeight="false" outlineLevel="0" collapsed="false">
      <c r="A6" s="4" t="s">
        <v>42</v>
      </c>
      <c r="B6" s="4" t="s">
        <v>43</v>
      </c>
      <c r="C6" s="5" t="n">
        <v>51</v>
      </c>
      <c r="D6" s="5" t="n">
        <v>43</v>
      </c>
      <c r="E6" s="6" t="n">
        <f aca="false">C6-D6</f>
        <v>8</v>
      </c>
      <c r="F6" s="4" t="s">
        <v>44</v>
      </c>
      <c r="G6" s="4" t="s">
        <v>39</v>
      </c>
    </row>
    <row r="8" customFormat="false" ht="23.85" hidden="false" customHeight="false" outlineLevel="0" collapsed="false">
      <c r="A8" s="4" t="s">
        <v>45</v>
      </c>
      <c r="B8" s="4"/>
      <c r="C8" s="4"/>
      <c r="D8" s="4"/>
      <c r="E8" s="7" t="n">
        <f aca="false">E4-E5</f>
        <v>1.90000000000001</v>
      </c>
      <c r="F8" s="4"/>
    </row>
    <row r="9" customFormat="false" ht="23.85" hidden="false" customHeight="false" outlineLevel="0" collapsed="false">
      <c r="A9" s="4" t="s">
        <v>46</v>
      </c>
      <c r="B9" s="4" t="s">
        <v>37</v>
      </c>
      <c r="C9" s="4"/>
      <c r="D9" s="4"/>
      <c r="E9" s="8" t="n">
        <v>0.901</v>
      </c>
      <c r="F9" s="4" t="s">
        <v>47</v>
      </c>
    </row>
    <row r="10" customFormat="false" ht="35.05" hidden="false" customHeight="false" outlineLevel="0" collapsed="false">
      <c r="A10" s="4" t="s">
        <v>48</v>
      </c>
      <c r="B10" s="4"/>
      <c r="C10" s="4"/>
      <c r="D10" s="4"/>
      <c r="E10" s="4"/>
      <c r="F10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34"/>
    <col collapsed="false" customWidth="true" hidden="false" outlineLevel="0" max="15" min="14" style="0" width="14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3" customFormat="false" ht="15" hidden="false" customHeight="false" outlineLevel="0" collapsed="false">
      <c r="A3" s="9" t="s">
        <v>52</v>
      </c>
      <c r="C3" s="10" t="n">
        <v>5.5</v>
      </c>
      <c r="D3" s="9" t="s">
        <v>53</v>
      </c>
      <c r="G3" s="10" t="n">
        <v>11.4</v>
      </c>
    </row>
    <row r="5" customFormat="false" ht="30" hidden="false" customHeight="true" outlineLevel="0" collapsed="false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65</v>
      </c>
      <c r="M5" s="3" t="s">
        <v>35</v>
      </c>
      <c r="N5" s="3" t="s">
        <v>66</v>
      </c>
      <c r="O5" s="3" t="s">
        <v>67</v>
      </c>
      <c r="P5" s="3" t="s">
        <v>68</v>
      </c>
    </row>
    <row r="6" customFormat="false" ht="57.45" hidden="false" customHeight="false" outlineLevel="0" collapsed="false">
      <c r="A6" s="4" t="s">
        <v>69</v>
      </c>
      <c r="B6" s="5" t="s">
        <v>70</v>
      </c>
      <c r="C6" s="4" t="s">
        <v>71</v>
      </c>
      <c r="D6" s="4" t="s">
        <v>72</v>
      </c>
      <c r="E6" s="5" t="s">
        <v>73</v>
      </c>
      <c r="F6" s="5" t="n">
        <v>54</v>
      </c>
      <c r="G6" s="4" t="s">
        <v>74</v>
      </c>
      <c r="H6" s="5" t="s">
        <v>75</v>
      </c>
      <c r="I6" s="5" t="n">
        <v>40</v>
      </c>
      <c r="J6" s="4" t="s">
        <v>76</v>
      </c>
      <c r="K6" s="5" t="s">
        <v>37</v>
      </c>
      <c r="L6" s="4"/>
      <c r="M6" s="5" t="s">
        <v>39</v>
      </c>
      <c r="N6" s="11" t="n">
        <f aca="false">F6-I6</f>
        <v>14</v>
      </c>
      <c r="O6" s="4" t="str">
        <f aca="false">IF(N6=0,"Tie",IF(N6&gt;0,D6,G6))</f>
        <v>Roy Cooper</v>
      </c>
      <c r="P6" s="4" t="str">
        <f aca="false">IF(ABS(N6)&lt;=$C$3,"Inside an average miss",IF(ABS(N6)&lt;=$G$3,"Inside the 1-in-10 miss","Outside the 1-in-10 miss"))</f>
        <v>Outside the 1-in-10 miss</v>
      </c>
    </row>
    <row r="7" customFormat="false" ht="57.45" hidden="false" customHeight="false" outlineLevel="0" collapsed="false">
      <c r="A7" s="4" t="s">
        <v>77</v>
      </c>
      <c r="B7" s="5" t="s">
        <v>78</v>
      </c>
      <c r="C7" s="4" t="s">
        <v>79</v>
      </c>
      <c r="D7" s="4" t="s">
        <v>80</v>
      </c>
      <c r="E7" s="5" t="s">
        <v>73</v>
      </c>
      <c r="F7" s="5" t="n">
        <v>51</v>
      </c>
      <c r="G7" s="4" t="s">
        <v>81</v>
      </c>
      <c r="H7" s="5" t="s">
        <v>75</v>
      </c>
      <c r="I7" s="5" t="n">
        <v>45</v>
      </c>
      <c r="J7" s="4" t="s">
        <v>82</v>
      </c>
      <c r="K7" s="5" t="s">
        <v>83</v>
      </c>
      <c r="L7" s="4"/>
      <c r="M7" s="5" t="s">
        <v>39</v>
      </c>
      <c r="N7" s="11" t="n">
        <f aca="false">F7-I7</f>
        <v>6</v>
      </c>
      <c r="O7" s="4" t="str">
        <f aca="false">IF(N7=0,"Tie",IF(N7&gt;0,D7,G7))</f>
        <v>James Talarico</v>
      </c>
      <c r="P7" s="4" t="str">
        <f aca="false">IF(ABS(N7)&lt;=$C$3,"Inside an average miss",IF(ABS(N7)&lt;=$G$3,"Inside the 1-in-10 miss","Outside the 1-in-10 miss"))</f>
        <v>Inside the 1-in-10 miss</v>
      </c>
    </row>
    <row r="8" customFormat="false" ht="57.45" hidden="false" customHeight="false" outlineLevel="0" collapsed="false">
      <c r="A8" s="4" t="s">
        <v>84</v>
      </c>
      <c r="B8" s="5" t="s">
        <v>85</v>
      </c>
      <c r="C8" s="4" t="s">
        <v>79</v>
      </c>
      <c r="D8" s="4" t="s">
        <v>86</v>
      </c>
      <c r="E8" s="5" t="s">
        <v>73</v>
      </c>
      <c r="F8" s="5" t="n">
        <v>49</v>
      </c>
      <c r="G8" s="4" t="s">
        <v>87</v>
      </c>
      <c r="H8" s="5" t="s">
        <v>75</v>
      </c>
      <c r="I8" s="5" t="n">
        <v>43</v>
      </c>
      <c r="J8" s="4" t="s">
        <v>88</v>
      </c>
      <c r="K8" s="5" t="s">
        <v>89</v>
      </c>
      <c r="L8" s="4"/>
      <c r="M8" s="5" t="s">
        <v>39</v>
      </c>
      <c r="N8" s="11" t="n">
        <f aca="false">F8-I8</f>
        <v>6</v>
      </c>
      <c r="O8" s="4" t="str">
        <f aca="false">IF(N8=0,"Tie",IF(N8&gt;0,D8,G8))</f>
        <v>Sherrod Brown</v>
      </c>
      <c r="P8" s="4" t="str">
        <f aca="false">IF(ABS(N8)&lt;=$C$3,"Inside an average miss",IF(ABS(N8)&lt;=$G$3,"Inside the 1-in-10 miss","Outside the 1-in-10 miss"))</f>
        <v>Inside the 1-in-10 miss</v>
      </c>
    </row>
    <row r="9" customFormat="false" ht="57.45" hidden="false" customHeight="false" outlineLevel="0" collapsed="false">
      <c r="A9" s="4" t="s">
        <v>90</v>
      </c>
      <c r="B9" s="5" t="s">
        <v>91</v>
      </c>
      <c r="C9" s="4" t="s">
        <v>71</v>
      </c>
      <c r="D9" s="4" t="s">
        <v>92</v>
      </c>
      <c r="E9" s="5" t="s">
        <v>73</v>
      </c>
      <c r="F9" s="5" t="n">
        <v>51</v>
      </c>
      <c r="G9" s="4" t="s">
        <v>93</v>
      </c>
      <c r="H9" s="5" t="s">
        <v>75</v>
      </c>
      <c r="I9" s="5" t="n">
        <v>44</v>
      </c>
      <c r="J9" s="4" t="s">
        <v>94</v>
      </c>
      <c r="K9" s="5" t="s">
        <v>95</v>
      </c>
      <c r="L9" s="4" t="s">
        <v>96</v>
      </c>
      <c r="M9" s="5" t="s">
        <v>39</v>
      </c>
      <c r="N9" s="11" t="n">
        <f aca="false">F9-I9</f>
        <v>7</v>
      </c>
      <c r="O9" s="4" t="str">
        <f aca="false">IF(N9=0,"Tie",IF(N9&gt;0,D9,G9))</f>
        <v>Chris Pappas</v>
      </c>
      <c r="P9" s="4" t="str">
        <f aca="false">IF(ABS(N9)&lt;=$C$3,"Inside an average miss",IF(ABS(N9)&lt;=$G$3,"Inside the 1-in-10 miss","Outside the 1-in-10 miss"))</f>
        <v>Inside the 1-in-10 miss</v>
      </c>
    </row>
    <row r="10" customFormat="false" ht="57.45" hidden="false" customHeight="false" outlineLevel="0" collapsed="false">
      <c r="A10" s="4" t="s">
        <v>97</v>
      </c>
      <c r="B10" s="5" t="s">
        <v>98</v>
      </c>
      <c r="C10" s="4" t="s">
        <v>79</v>
      </c>
      <c r="D10" s="4" t="s">
        <v>99</v>
      </c>
      <c r="E10" s="5" t="s">
        <v>73</v>
      </c>
      <c r="F10" s="5" t="n">
        <v>50</v>
      </c>
      <c r="G10" s="4" t="s">
        <v>100</v>
      </c>
      <c r="H10" s="5" t="s">
        <v>75</v>
      </c>
      <c r="I10" s="5" t="n">
        <v>43</v>
      </c>
      <c r="J10" s="4" t="s">
        <v>82</v>
      </c>
      <c r="K10" s="5" t="s">
        <v>83</v>
      </c>
      <c r="L10" s="4" t="s">
        <v>101</v>
      </c>
      <c r="M10" s="5" t="s">
        <v>39</v>
      </c>
      <c r="N10" s="11" t="n">
        <f aca="false">F10-I10</f>
        <v>7</v>
      </c>
      <c r="O10" s="4" t="str">
        <f aca="false">IF(N10=0,"Tie",IF(N10&gt;0,D10,G10))</f>
        <v>Mary Peltola</v>
      </c>
      <c r="P10" s="4" t="str">
        <f aca="false">IF(ABS(N10)&lt;=$C$3,"Inside an average miss",IF(ABS(N10)&lt;=$G$3,"Inside the 1-in-10 miss","Outside the 1-in-10 miss"))</f>
        <v>Inside the 1-in-10 miss</v>
      </c>
    </row>
    <row r="11" customFormat="false" ht="57.45" hidden="false" customHeight="false" outlineLevel="0" collapsed="false">
      <c r="A11" s="4" t="s">
        <v>102</v>
      </c>
      <c r="B11" s="5" t="s">
        <v>103</v>
      </c>
      <c r="C11" s="4" t="s">
        <v>79</v>
      </c>
      <c r="D11" s="4" t="s">
        <v>104</v>
      </c>
      <c r="E11" s="5" t="s">
        <v>73</v>
      </c>
      <c r="F11" s="5" t="n">
        <v>50</v>
      </c>
      <c r="G11" s="4" t="s">
        <v>105</v>
      </c>
      <c r="H11" s="5" t="s">
        <v>75</v>
      </c>
      <c r="I11" s="5" t="n">
        <v>46</v>
      </c>
      <c r="J11" s="4" t="s">
        <v>106</v>
      </c>
      <c r="K11" s="5" t="s">
        <v>107</v>
      </c>
      <c r="L11" s="4"/>
      <c r="M11" s="5" t="s">
        <v>39</v>
      </c>
      <c r="N11" s="11" t="n">
        <f aca="false">F11-I11</f>
        <v>4</v>
      </c>
      <c r="O11" s="4" t="str">
        <f aca="false">IF(N11=0,"Tie",IF(N11&gt;0,D11,G11))</f>
        <v>Troy Jackson</v>
      </c>
      <c r="P11" s="4" t="str">
        <f aca="false">IF(ABS(N11)&lt;=$C$3,"Inside an average miss",IF(ABS(N11)&lt;=$G$3,"Inside the 1-in-10 miss","Outside the 1-in-10 miss"))</f>
        <v>Inside an average miss</v>
      </c>
    </row>
    <row r="12" customFormat="false" ht="57.45" hidden="false" customHeight="false" outlineLevel="0" collapsed="false">
      <c r="A12" s="4" t="s">
        <v>108</v>
      </c>
      <c r="B12" s="5" t="s">
        <v>109</v>
      </c>
      <c r="C12" s="4" t="s">
        <v>71</v>
      </c>
      <c r="D12" s="4" t="s">
        <v>110</v>
      </c>
      <c r="E12" s="5"/>
      <c r="F12" s="5" t="n">
        <v>47</v>
      </c>
      <c r="G12" s="4" t="s">
        <v>111</v>
      </c>
      <c r="H12" s="5"/>
      <c r="I12" s="5" t="n">
        <v>43</v>
      </c>
      <c r="J12" s="4" t="s">
        <v>112</v>
      </c>
      <c r="K12" s="5" t="s">
        <v>113</v>
      </c>
      <c r="L12" s="4" t="s">
        <v>114</v>
      </c>
      <c r="M12" s="5" t="s">
        <v>39</v>
      </c>
      <c r="N12" s="11" t="n">
        <f aca="false">F12-I12</f>
        <v>4</v>
      </c>
      <c r="O12" s="4" t="str">
        <f aca="false">IF(N12=0,"Tie",IF(N12&gt;0,D12,G12))</f>
        <v>Flanagan</v>
      </c>
      <c r="P12" s="4" t="str">
        <f aca="false">IF(ABS(N12)&lt;=$C$3,"Inside an average miss",IF(ABS(N12)&lt;=$G$3,"Inside the 1-in-10 miss","Outside the 1-in-10 miss"))</f>
        <v>Inside an average miss</v>
      </c>
    </row>
    <row r="13" customFormat="false" ht="57.45" hidden="false" customHeight="false" outlineLevel="0" collapsed="false">
      <c r="A13" s="4" t="s">
        <v>115</v>
      </c>
      <c r="B13" s="5" t="s">
        <v>116</v>
      </c>
      <c r="C13" s="4" t="s">
        <v>71</v>
      </c>
      <c r="D13" s="4" t="s">
        <v>117</v>
      </c>
      <c r="E13" s="5" t="s">
        <v>75</v>
      </c>
      <c r="F13" s="5" t="n">
        <v>47</v>
      </c>
      <c r="G13" s="4" t="s">
        <v>118</v>
      </c>
      <c r="H13" s="5" t="s">
        <v>73</v>
      </c>
      <c r="I13" s="5" t="n">
        <v>45</v>
      </c>
      <c r="J13" s="4" t="s">
        <v>119</v>
      </c>
      <c r="K13" s="5" t="s">
        <v>107</v>
      </c>
      <c r="L13" s="4"/>
      <c r="M13" s="5" t="s">
        <v>39</v>
      </c>
      <c r="N13" s="11" t="n">
        <f aca="false">F13-I13</f>
        <v>2</v>
      </c>
      <c r="O13" s="4" t="str">
        <f aca="false">IF(N13=0,"Tie",IF(N13&gt;0,D13,G13))</f>
        <v>Ashley Hinson</v>
      </c>
      <c r="P13" s="4" t="str">
        <f aca="false">IF(ABS(N13)&lt;=$C$3,"Inside an average miss",IF(ABS(N13)&lt;=$G$3,"Inside the 1-in-10 miss","Outside the 1-in-10 miss"))</f>
        <v>Inside an average miss</v>
      </c>
    </row>
    <row r="14" customFormat="false" ht="57.45" hidden="false" customHeight="false" outlineLevel="0" collapsed="false">
      <c r="A14" s="4" t="s">
        <v>120</v>
      </c>
      <c r="B14" s="5" t="s">
        <v>121</v>
      </c>
      <c r="C14" s="4" t="s">
        <v>79</v>
      </c>
      <c r="D14" s="4" t="s">
        <v>122</v>
      </c>
      <c r="E14" s="5" t="s">
        <v>75</v>
      </c>
      <c r="F14" s="5" t="n">
        <v>47</v>
      </c>
      <c r="G14" s="4" t="s">
        <v>123</v>
      </c>
      <c r="H14" s="5" t="s">
        <v>73</v>
      </c>
      <c r="I14" s="5" t="n">
        <v>46</v>
      </c>
      <c r="J14" s="4" t="s">
        <v>82</v>
      </c>
      <c r="K14" s="5" t="s">
        <v>95</v>
      </c>
      <c r="L14" s="4"/>
      <c r="M14" s="5" t="s">
        <v>39</v>
      </c>
      <c r="N14" s="11" t="n">
        <f aca="false">F14-I14</f>
        <v>1</v>
      </c>
      <c r="O14" s="4" t="str">
        <f aca="false">IF(N14=0,"Tie",IF(N14&gt;0,D14,G14))</f>
        <v>Roger Marshall</v>
      </c>
      <c r="P14" s="4" t="str">
        <f aca="false">IF(ABS(N14)&lt;=$C$3,"Inside an average miss",IF(ABS(N14)&lt;=$G$3,"Inside the 1-in-10 miss","Outside the 1-in-10 miss"))</f>
        <v>Inside an average miss</v>
      </c>
    </row>
    <row r="15" customFormat="false" ht="57.45" hidden="false" customHeight="false" outlineLevel="0" collapsed="false">
      <c r="A15" s="4" t="s">
        <v>124</v>
      </c>
      <c r="B15" s="5" t="s">
        <v>125</v>
      </c>
      <c r="C15" s="4" t="s">
        <v>71</v>
      </c>
      <c r="D15" s="4" t="s">
        <v>126</v>
      </c>
      <c r="E15" s="5" t="s">
        <v>73</v>
      </c>
      <c r="F15" s="5" t="n">
        <v>50</v>
      </c>
      <c r="G15" s="4" t="s">
        <v>127</v>
      </c>
      <c r="H15" s="5" t="s">
        <v>75</v>
      </c>
      <c r="I15" s="5" t="n">
        <v>49</v>
      </c>
      <c r="J15" s="4" t="s">
        <v>128</v>
      </c>
      <c r="K15" s="5" t="s">
        <v>129</v>
      </c>
      <c r="L15" s="4"/>
      <c r="M15" s="5" t="s">
        <v>39</v>
      </c>
      <c r="N15" s="11" t="n">
        <f aca="false">F15-I15</f>
        <v>1</v>
      </c>
      <c r="O15" s="4" t="str">
        <f aca="false">IF(N15=0,"Tie",IF(N15&gt;0,D15,G15))</f>
        <v>Abdul El-Sayed</v>
      </c>
      <c r="P15" s="4" t="str">
        <f aca="false">IF(ABS(N15)&lt;=$C$3,"Inside an average miss",IF(ABS(N15)&lt;=$G$3,"Inside the 1-in-10 miss","Outside the 1-in-10 miss"))</f>
        <v>Inside an average miss</v>
      </c>
    </row>
    <row r="16" customFormat="false" ht="57.45" hidden="false" customHeight="false" outlineLevel="0" collapsed="false">
      <c r="A16" s="4" t="s">
        <v>130</v>
      </c>
      <c r="B16" s="5" t="s">
        <v>131</v>
      </c>
      <c r="C16" s="4" t="s">
        <v>79</v>
      </c>
      <c r="D16" s="4" t="s">
        <v>132</v>
      </c>
      <c r="E16" s="5" t="s">
        <v>73</v>
      </c>
      <c r="F16" s="5" t="n">
        <v>45</v>
      </c>
      <c r="G16" s="4" t="s">
        <v>133</v>
      </c>
      <c r="H16" s="5" t="s">
        <v>75</v>
      </c>
      <c r="I16" s="5" t="n">
        <v>45</v>
      </c>
      <c r="J16" s="4" t="s">
        <v>134</v>
      </c>
      <c r="K16" s="5" t="s">
        <v>135</v>
      </c>
      <c r="L16" s="4" t="s">
        <v>136</v>
      </c>
      <c r="M16" s="5" t="s">
        <v>39</v>
      </c>
      <c r="N16" s="11" t="n">
        <f aca="false">F16-I16</f>
        <v>0</v>
      </c>
      <c r="O16" s="4" t="str">
        <f aca="false">IF(N16=0,"Tie",IF(N16&gt;0,D16,G16))</f>
        <v>Tie</v>
      </c>
      <c r="P16" s="4" t="str">
        <f aca="false">IF(ABS(N16)&lt;=$C$3,"Inside an average miss",IF(ABS(N16)&lt;=$G$3,"Inside the 1-in-10 miss","Outside the 1-in-10 miss"))</f>
        <v>Inside an average miss</v>
      </c>
    </row>
    <row r="18" customFormat="false" ht="15" hidden="false" customHeight="false" outlineLevel="0" collapsed="false">
      <c r="A18" s="9" t="s">
        <v>137</v>
      </c>
      <c r="N18" s="12" t="n">
        <f aca="false">COUNTIF(P6:P16,"Inside an average miss")</f>
        <v>6</v>
      </c>
    </row>
    <row r="19" customFormat="false" ht="15" hidden="false" customHeight="false" outlineLevel="0" collapsed="false">
      <c r="A19" s="9" t="s">
        <v>138</v>
      </c>
      <c r="N19" s="12" t="n">
        <f aca="false">COUNTIF(P6:P16,"Inside the 1-in-10 miss")</f>
        <v>4</v>
      </c>
    </row>
    <row r="20" customFormat="false" ht="15" hidden="false" customHeight="false" outlineLevel="0" collapsed="false">
      <c r="A20" s="9" t="s">
        <v>139</v>
      </c>
      <c r="N20" s="12" t="n">
        <f aca="false">COUNTIF(P6:P16,"Outside the 1-in-10 miss")</f>
        <v>1</v>
      </c>
    </row>
    <row r="22" customFormat="false" ht="15" hidden="false" customHeight="false" outlineLevel="0" collapsed="false">
      <c r="A22" s="2" t="s">
        <v>140</v>
      </c>
    </row>
    <row r="23" customFormat="false" ht="43.5" hidden="false" customHeight="true" outlineLevel="0" collapsed="false">
      <c r="A23" s="13" t="s">
        <v>141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1">
    <mergeCell ref="A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142</v>
      </c>
    </row>
    <row r="3" customFormat="false" ht="30" hidden="false" customHeight="true" outlineLevel="0" collapsed="false">
      <c r="A3" s="3" t="s">
        <v>54</v>
      </c>
      <c r="B3" s="3" t="s">
        <v>56</v>
      </c>
      <c r="C3" s="3" t="s">
        <v>143</v>
      </c>
      <c r="D3" s="3" t="s">
        <v>144</v>
      </c>
    </row>
    <row r="4" customFormat="false" ht="15" hidden="false" customHeight="false" outlineLevel="0" collapsed="false">
      <c r="A4" s="4" t="s">
        <v>69</v>
      </c>
      <c r="B4" s="4" t="s">
        <v>145</v>
      </c>
      <c r="C4" s="4" t="s">
        <v>146</v>
      </c>
      <c r="D4" s="4" t="s">
        <v>147</v>
      </c>
    </row>
    <row r="5" customFormat="false" ht="15" hidden="false" customHeight="false" outlineLevel="0" collapsed="false">
      <c r="A5" s="4" t="s">
        <v>148</v>
      </c>
      <c r="B5" s="4" t="s">
        <v>149</v>
      </c>
      <c r="C5" s="4" t="s">
        <v>146</v>
      </c>
      <c r="D5" s="4" t="s">
        <v>147</v>
      </c>
    </row>
    <row r="6" customFormat="false" ht="15" hidden="false" customHeight="false" outlineLevel="0" collapsed="false">
      <c r="A6" s="4" t="s">
        <v>150</v>
      </c>
      <c r="B6" s="4" t="s">
        <v>145</v>
      </c>
      <c r="C6" s="4" t="s">
        <v>151</v>
      </c>
      <c r="D6" s="4" t="s">
        <v>146</v>
      </c>
    </row>
    <row r="7" customFormat="false" ht="15" hidden="false" customHeight="false" outlineLevel="0" collapsed="false">
      <c r="A7" s="4" t="s">
        <v>152</v>
      </c>
      <c r="B7" s="4" t="s">
        <v>153</v>
      </c>
      <c r="C7" s="4" t="s">
        <v>154</v>
      </c>
      <c r="D7" s="4" t="s">
        <v>155</v>
      </c>
    </row>
    <row r="9" customFormat="false" ht="15" hidden="false" customHeight="false" outlineLevel="0" collapsed="false">
      <c r="A9" s="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5" min="3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157</v>
      </c>
    </row>
    <row r="3" customFormat="false" ht="30" hidden="false" customHeight="true" outlineLevel="0" collapsed="false">
      <c r="A3" s="3" t="s">
        <v>54</v>
      </c>
      <c r="B3" s="3" t="s">
        <v>158</v>
      </c>
      <c r="C3" s="3" t="s">
        <v>159</v>
      </c>
      <c r="D3" s="3" t="s">
        <v>160</v>
      </c>
      <c r="E3" s="3" t="s">
        <v>161</v>
      </c>
      <c r="F3" s="3" t="s">
        <v>162</v>
      </c>
    </row>
    <row r="4" customFormat="false" ht="15" hidden="false" customHeight="false" outlineLevel="0" collapsed="false">
      <c r="A4" s="4" t="s">
        <v>77</v>
      </c>
      <c r="B4" s="4" t="s">
        <v>163</v>
      </c>
      <c r="C4" s="4" t="s">
        <v>164</v>
      </c>
      <c r="D4" s="5" t="n">
        <v>5</v>
      </c>
      <c r="E4" s="4" t="s">
        <v>165</v>
      </c>
      <c r="F4" s="4" t="s">
        <v>166</v>
      </c>
    </row>
    <row r="5" customFormat="false" ht="23.85" hidden="false" customHeight="false" outlineLevel="0" collapsed="false">
      <c r="A5" s="4" t="s">
        <v>167</v>
      </c>
      <c r="B5" s="4" t="s">
        <v>168</v>
      </c>
      <c r="C5" s="4" t="s">
        <v>169</v>
      </c>
      <c r="D5" s="5" t="n">
        <v>5</v>
      </c>
      <c r="E5" s="4" t="s">
        <v>165</v>
      </c>
      <c r="F5" s="4" t="s">
        <v>170</v>
      </c>
    </row>
    <row r="6" customFormat="false" ht="15" hidden="false" customHeight="false" outlineLevel="0" collapsed="false">
      <c r="A6" s="4" t="s">
        <v>150</v>
      </c>
      <c r="B6" s="4" t="s">
        <v>171</v>
      </c>
      <c r="C6" s="4" t="s">
        <v>164</v>
      </c>
      <c r="D6" s="5" t="n">
        <v>2</v>
      </c>
      <c r="E6" s="4" t="s">
        <v>172</v>
      </c>
      <c r="F6" s="4" t="s">
        <v>173</v>
      </c>
    </row>
    <row r="7" customFormat="false" ht="23.85" hidden="false" customHeight="false" outlineLevel="0" collapsed="false">
      <c r="A7" s="4" t="s">
        <v>174</v>
      </c>
      <c r="B7" s="4" t="s">
        <v>175</v>
      </c>
      <c r="C7" s="4" t="s">
        <v>164</v>
      </c>
      <c r="D7" s="5" t="n">
        <v>1</v>
      </c>
      <c r="E7" s="4" t="s">
        <v>172</v>
      </c>
      <c r="F7" s="4" t="s">
        <v>176</v>
      </c>
    </row>
    <row r="8" customFormat="false" ht="15" hidden="false" customHeight="false" outlineLevel="0" collapsed="false">
      <c r="A8" s="4" t="s">
        <v>69</v>
      </c>
      <c r="B8" s="4" t="s">
        <v>177</v>
      </c>
      <c r="C8" s="4" t="s">
        <v>164</v>
      </c>
      <c r="D8" s="5" t="n">
        <v>1</v>
      </c>
      <c r="E8" s="4" t="s">
        <v>172</v>
      </c>
      <c r="F8" s="4" t="s">
        <v>178</v>
      </c>
    </row>
    <row r="9" customFormat="false" ht="15" hidden="false" customHeight="false" outlineLevel="0" collapsed="false">
      <c r="A9" s="4" t="s">
        <v>179</v>
      </c>
      <c r="B9" s="4" t="s">
        <v>180</v>
      </c>
      <c r="C9" s="4" t="s">
        <v>169</v>
      </c>
      <c r="D9" s="5" t="n">
        <v>1</v>
      </c>
      <c r="E9" s="4" t="s">
        <v>172</v>
      </c>
      <c r="F9" s="4" t="s">
        <v>181</v>
      </c>
    </row>
    <row r="10" customFormat="false" ht="15" hidden="false" customHeight="false" outlineLevel="0" collapsed="false">
      <c r="A10" s="4" t="s">
        <v>182</v>
      </c>
      <c r="B10" s="4" t="s">
        <v>183</v>
      </c>
      <c r="C10" s="4"/>
      <c r="D10" s="5"/>
      <c r="E10" s="4" t="s">
        <v>184</v>
      </c>
      <c r="F10" s="4" t="s">
        <v>185</v>
      </c>
    </row>
    <row r="11" customFormat="false" ht="15" hidden="false" customHeight="false" outlineLevel="0" collapsed="false">
      <c r="A11" s="4" t="s">
        <v>186</v>
      </c>
      <c r="B11" s="4" t="s">
        <v>187</v>
      </c>
      <c r="C11" s="4"/>
      <c r="D11" s="5"/>
      <c r="E11" s="4" t="s">
        <v>184</v>
      </c>
      <c r="F11" s="4" t="s">
        <v>188</v>
      </c>
    </row>
    <row r="12" customFormat="false" ht="15" hidden="false" customHeight="false" outlineLevel="0" collapsed="false">
      <c r="A12" s="4" t="s">
        <v>189</v>
      </c>
      <c r="B12" s="4" t="s">
        <v>190</v>
      </c>
      <c r="C12" s="4"/>
      <c r="D12" s="5" t="n">
        <v>0</v>
      </c>
      <c r="E12" s="4" t="s">
        <v>191</v>
      </c>
      <c r="F12" s="4" t="s">
        <v>192</v>
      </c>
    </row>
    <row r="13" customFormat="false" ht="15" hidden="false" customHeight="false" outlineLevel="0" collapsed="false">
      <c r="A13" s="4" t="s">
        <v>193</v>
      </c>
      <c r="B13" s="4" t="s">
        <v>194</v>
      </c>
      <c r="C13" s="4"/>
      <c r="D13" s="5" t="n">
        <v>0</v>
      </c>
      <c r="E13" s="4" t="s">
        <v>191</v>
      </c>
      <c r="F13" s="4" t="s">
        <v>195</v>
      </c>
    </row>
    <row r="15" customFormat="false" ht="15" hidden="false" customHeight="false" outlineLevel="0" collapsed="false">
      <c r="A15" s="9" t="s">
        <v>196</v>
      </c>
      <c r="D15" s="12" t="n">
        <f aca="false">SUMIF(C4:C13,"Republican",D4:D13)</f>
        <v>9</v>
      </c>
    </row>
    <row r="16" customFormat="false" ht="15" hidden="false" customHeight="false" outlineLevel="0" collapsed="false">
      <c r="A16" s="9" t="s">
        <v>197</v>
      </c>
      <c r="D16" s="12" t="n">
        <f aca="false">SUMIF(C4:C13,"Democratic",D4:D13)</f>
        <v>6</v>
      </c>
    </row>
    <row r="17" customFormat="false" ht="15" hidden="false" customHeight="false" outlineLevel="0" collapsed="false">
      <c r="A17" s="9" t="s">
        <v>198</v>
      </c>
      <c r="D17" s="12" t="n">
        <f aca="false">D15-D16</f>
        <v>3</v>
      </c>
    </row>
    <row r="19" customFormat="false" ht="15" hidden="false" customHeight="false" outlineLevel="0" collapsed="false">
      <c r="A19" s="2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200</v>
      </c>
    </row>
    <row r="3" customFormat="false" ht="30" hidden="false" customHeight="true" outlineLevel="0" collapsed="false">
      <c r="A3" s="3" t="s">
        <v>34</v>
      </c>
      <c r="B3" s="3" t="s">
        <v>201</v>
      </c>
      <c r="C3" s="3" t="s">
        <v>202</v>
      </c>
    </row>
    <row r="4" customFormat="false" ht="23.85" hidden="false" customHeight="false" outlineLevel="0" collapsed="false">
      <c r="A4" s="4" t="s">
        <v>203</v>
      </c>
      <c r="B4" s="4" t="s">
        <v>204</v>
      </c>
      <c r="C4" s="14" t="s">
        <v>39</v>
      </c>
    </row>
    <row r="5" customFormat="false" ht="15" hidden="false" customHeight="false" outlineLevel="0" collapsed="false">
      <c r="A5" s="4" t="s">
        <v>205</v>
      </c>
      <c r="B5" s="4" t="s">
        <v>206</v>
      </c>
      <c r="C5" s="14" t="s">
        <v>207</v>
      </c>
    </row>
    <row r="6" customFormat="false" ht="23.85" hidden="false" customHeight="false" outlineLevel="0" collapsed="false">
      <c r="A6" s="4" t="s">
        <v>208</v>
      </c>
      <c r="B6" s="4" t="s">
        <v>209</v>
      </c>
      <c r="C6" s="14" t="s">
        <v>210</v>
      </c>
    </row>
    <row r="7" customFormat="false" ht="15" hidden="false" customHeight="false" outlineLevel="0" collapsed="false">
      <c r="A7" s="4" t="s">
        <v>211</v>
      </c>
      <c r="B7" s="4" t="s">
        <v>212</v>
      </c>
      <c r="C7" s="14" t="s">
        <v>213</v>
      </c>
    </row>
    <row r="8" customFormat="false" ht="23.85" hidden="false" customHeight="false" outlineLevel="0" collapsed="false">
      <c r="A8" s="4" t="s">
        <v>214</v>
      </c>
      <c r="B8" s="4" t="s">
        <v>215</v>
      </c>
      <c r="C8" s="14" t="s">
        <v>216</v>
      </c>
    </row>
    <row r="9" customFormat="false" ht="23.85" hidden="false" customHeight="false" outlineLevel="0" collapsed="false">
      <c r="A9" s="4" t="s">
        <v>217</v>
      </c>
      <c r="B9" s="4" t="s">
        <v>218</v>
      </c>
      <c r="C9" s="14" t="s">
        <v>219</v>
      </c>
    </row>
    <row r="10" customFormat="false" ht="15" hidden="false" customHeight="false" outlineLevel="0" collapsed="false">
      <c r="A10" s="4" t="s">
        <v>220</v>
      </c>
      <c r="B10" s="4" t="s">
        <v>221</v>
      </c>
      <c r="C10" s="14" t="s">
        <v>222</v>
      </c>
    </row>
    <row r="11" customFormat="false" ht="15" hidden="false" customHeight="false" outlineLevel="0" collapsed="false">
      <c r="A11" s="4" t="s">
        <v>223</v>
      </c>
      <c r="B11" s="4" t="s">
        <v>221</v>
      </c>
      <c r="C11" s="14" t="s">
        <v>224</v>
      </c>
    </row>
    <row r="12" customFormat="false" ht="15" hidden="false" customHeight="false" outlineLevel="0" collapsed="false">
      <c r="A12" s="4" t="s">
        <v>225</v>
      </c>
      <c r="B12" s="4" t="s">
        <v>226</v>
      </c>
      <c r="C12" s="14" t="s">
        <v>227</v>
      </c>
    </row>
  </sheetData>
  <hyperlinks>
    <hyperlink ref="C4" r:id="rId1" display="https://www.forbes.com/sites/saradorn/2026/10/13/hottest-2026-midterm-races-democrat-roy-cooper-has-double-digit-lead-over-former-rnc-chair-michael-whatley-updated-daily/"/>
    <hyperlink ref="C5" r:id="rId2" display="https://www.natesilver.net/p/generic-ballot-average-2026-nate-silver-bulletin-congress-polls"/>
    <hyperlink ref="C6" r:id="rId3" display="https://www.realclearpolitics.com/2026/10/01/2026_midterms_what_the_generic_ballot_polls_tell_us_712674.html"/>
    <hyperlink ref="C7" r:id="rId4" display="https://pressgallery.house.gov/member-data/party-breakdown"/>
    <hyperlink ref="C8" r:id="rId5" display="https://mediaite.com/politics/cook-political-shifts-four-senate-races-toward-democrats-key-race-now-a-toss-up"/>
    <hyperlink ref="C9" r:id="rId6" display="https://signalscv.com/2026/04/2026-midterms-the-latest-on-the-redistricting-battles/"/>
    <hyperlink ref="C10" r:id="rId7" display="https://www.aol.com/articles/gallup-ending-presidential-approval-ratings-025800595.html"/>
    <hyperlink ref="C11" r:id="rId8" display="https://report.az/en/amp/other-countries/gallup-trump-s-rating-falls-to-40"/>
    <hyperlink ref="C12" r:id="rId9" display="https://github.com/fivethirtyeight/data/tree/master/pollster-rating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2026-10-14T20:51:40Z</dcterms:created>
  <dc:creator>openpyxl</dc:creator>
  <dc:description/>
  <dc:language>en-US</dc:language>
  <cp:lastModifiedBy/>
  <dcterms:modified xsi:type="dcterms:W3CDTF">2026-10-14T20:51:40Z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